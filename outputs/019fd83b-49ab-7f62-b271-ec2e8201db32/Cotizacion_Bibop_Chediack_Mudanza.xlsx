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59b1aedf8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tizacion" sheetId="1" r:id="Rd2746eeacc00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USD&quot; #,##0.00"/>
  </x:numFmts>
  <x:fonts count="11">
    <x:font>
      <x:sz val="11"/>
      <x:name val="Carlito"/>
    </x:font>
    <x:font>
      <x:sz val="10"/>
      <x:color rgb="FF202020"/>
      <x:name val="Calibri"/>
    </x:font>
    <x:font>
      <x:b/>
      <x:sz val="15"/>
      <x:color rgb="FF5B2AA8"/>
      <x:name val="Calibri"/>
    </x:font>
    <x:font>
      <x:i/>
      <x:sz val="9"/>
      <x:color rgb="FF555555"/>
      <x:name val="Calibri"/>
    </x:font>
    <x:font>
      <x:b/>
      <x:sz val="10"/>
      <x:color rgb="FF202020"/>
      <x:name val="Calibri"/>
    </x:font>
    <x:font>
      <x:b/>
      <x:sz val="10"/>
      <x:color rgb="FFFFFFFF"/>
      <x:name val="Calibri"/>
    </x:font>
    <x:font>
      <x:b/>
      <x:sz val="10"/>
      <x:color rgb="FF3F1B73"/>
      <x:name val="Calibri"/>
    </x:font>
    <x:font>
      <x:i/>
      <x:sz val="10"/>
      <x:color rgb="FF202020"/>
      <x:name val="Calibri"/>
    </x:font>
    <x:font>
      <x:b/>
      <x:i/>
      <x:sz val="10"/>
      <x:color rgb="FF202020"/>
      <x:name val="Calibri"/>
    </x:font>
    <x:font>
      <x:b/>
      <x:sz val="10"/>
      <x:color rgb="FF222222"/>
      <x:name val="Calibri"/>
    </x:font>
    <x:font>
      <x:i/>
      <x:sz val="10"/>
      <x:color rgb="FF666666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6C35D7"/>
      </x:patternFill>
    </x:fill>
    <x:fill>
      <x:patternFill patternType="solid">
        <x:fgColor rgb="FFEEE7F8"/>
      </x:patternFill>
    </x:fill>
    <x:fill>
      <x:patternFill patternType="solid">
        <x:fgColor rgb="FFE8E8E8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double">
        <x:color rgb="FF6C35D7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4" fillId="0" borderId="1" xfId="0" applyNumberFormat="1" applyFont="1" applyFill="1" applyBorder="1"/>
    <x:xf numFmtId="0" fontId="1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4" borderId="0" xfId="0" applyNumberFormat="1" applyFont="1" applyFill="1" applyBorder="1"/>
    <x:xf numFmtId="0" fontId="9" fillId="4" borderId="0" xfId="0" applyNumberFormat="1" applyFont="1" applyFill="1" applyBorder="1"/>
    <x:xf numFmtId="0" fontId="10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horizontal="right" vertical="center"/>
    </x:xf>
    <x:xf numFmtId="0" fontId="6" fillId="3" borderId="2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right" vertical="center"/>
    </x:xf>
    <x:xf numFmtId="201" fontId="6" fillId="3" borderId="2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201" fontId="8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a5cc7925d4fd1" /><Relationship Type="http://schemas.openxmlformats.org/officeDocument/2006/relationships/theme" Target="/xl/theme/theme1.xml" Id="R720b4147d60a4991" /><Relationship Type="http://schemas.openxmlformats.org/officeDocument/2006/relationships/sharedStrings" Target="/xl/sharedStrings.xml" Id="R1b7896014ac74431" /><Relationship Type="http://schemas.openxmlformats.org/officeDocument/2006/relationships/worksheet" Target="/xl/worksheets/sheet1.xml" Id="Rd2746eeacc0041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6" hidden="0" customWidth="1"/>
    <x:col min="2" max="2" width="55" hidden="0" customWidth="1"/>
    <x:col min="3" max="3" width="12" hidden="0" customWidth="1"/>
    <x:col min="4" max="4" width="9" hidden="0" customWidth="1"/>
    <x:col min="5" max="5" width="17" hidden="0" customWidth="1"/>
    <x:col min="6" max="6" width="17" hidden="0" customWidth="1"/>
  </x:cols>
  <x:sheetData>
    <x:row r="1" ht="25" customHeight="1">
      <x:c r="A1" s="20" t="str">
        <x:v>BIBOP S.A. - COTIZACION N° 0804/26</x:v>
      </x:c>
      <x:c r="B1" s="21"/>
      <x:c r="C1" s="21"/>
      <x:c r="D1" s="21"/>
      <x:c r="E1" s="21"/>
      <x:c r="F1" s="21"/>
    </x:row>
    <x:row r="2" ht="18" customHeight="1">
      <x:c r="A2" s="22" t="str">
        <x:v>CUIT 30-71578682-2 | Carlos Pellegrini 855, piso 3, CABA | gestion@bibop.com.ar</x:v>
      </x:c>
      <x:c r="B2" s="21"/>
      <x:c r="C2" s="21"/>
      <x:c r="D2" s="21"/>
      <x:c r="E2" s="21"/>
      <x:c r="F2" s="21"/>
    </x:row>
    <x:row r="3">
      <x:c r="A3" s="23" t="str">
        <x:v>Cliente</x:v>
      </x:c>
      <x:c r="B3" s="21" t="str">
        <x:v>José J. Chediack S.A.I.C.A.</x:v>
      </x:c>
      <x:c r="C3" s="21"/>
      <x:c r="D3" s="21"/>
      <x:c r="E3" s="21"/>
      <x:c r="F3" s="21"/>
    </x:row>
    <x:row r="4">
      <x:c r="A4" s="23" t="str">
        <x:v>Trabajo</x:v>
      </x:c>
      <x:c r="B4" s="21" t="str">
        <x:v>Mudanza de sitios Claro y Movistar - PBN y Anillo Peatonal Av. Pampa</x:v>
      </x:c>
      <x:c r="C4" s="21"/>
      <x:c r="D4" s="21"/>
      <x:c r="E4" s="21"/>
      <x:c r="F4" s="21"/>
    </x:row>
    <x:row r="5">
      <x:c r="A5" s="23" t="str">
        <x:v>Fecha</x:v>
      </x:c>
      <x:c r="B5" s="42" t="n">
        <x:v>46239.625</x:v>
      </x:c>
      <x:c r="C5" s="23" t="str">
        <x:v>Validez</x:v>
      </x:c>
      <x:c r="D5" s="21" t="str">
        <x:v>30 días</x:v>
      </x:c>
      <x:c r="E5" s="23" t="str">
        <x:v>Plazo</x:v>
      </x:c>
      <x:c r="F5" s="21" t="str">
        <x:v>60 días</x:v>
      </x:c>
    </x:row>
    <x:row r="6">
      <x:c r="A6" s="21"/>
      <x:c r="B6" s="21"/>
      <x:c r="C6" s="21"/>
      <x:c r="D6" s="21"/>
      <x:c r="E6" s="21"/>
      <x:c r="F6" s="21"/>
    </x:row>
    <x:row r="7" ht="30" customHeight="1">
      <x:c r="A7" s="9" t="str">
        <x:v>N°</x:v>
      </x:c>
      <x:c r="B7" s="9" t="str">
        <x:v>Detalle</x:v>
      </x:c>
      <x:c r="C7" s="9" t="str">
        <x:v>Unidad</x:v>
      </x:c>
      <x:c r="D7" s="9" t="str">
        <x:v>Cant.</x:v>
      </x:c>
      <x:c r="E7" s="9" t="str">
        <x:v>Precio unitario USD</x:v>
      </x:c>
      <x:c r="F7" s="9" t="str">
        <x:v>Importe USD</x:v>
      </x:c>
    </x:row>
    <x:row r="8" ht="31" customHeight="1">
      <x:c r="A8" s="34" t="n">
        <x:v>1</x:v>
      </x:c>
      <x:c r="B8" s="31" t="str">
        <x:v>Relevamiento, ingeniería, topografía, suelos, memorias y planos</x:v>
      </x:c>
      <x:c r="C8" s="34" t="str">
        <x:v>global</x:v>
      </x:c>
      <x:c r="D8" s="34" t="n">
        <x:v>1</x:v>
      </x:c>
      <x:c r="E8" s="43" t="n">
        <x:v>6500</x:v>
      </x:c>
      <x:c r="F8" s="43" t="n">
        <x:f>D8*E8</x:f>
        <x:v>6500</x:v>
      </x:c>
    </x:row>
    <x:row r="9" ht="31" customHeight="1">
      <x:c r="A9" s="34" t="n">
        <x:v>2</x:v>
      </x:c>
      <x:c r="B9" s="31" t="str">
        <x:v>Fundaciones hasta 10 m3, armaduras, anclajes y canalizaciones</x:v>
      </x:c>
      <x:c r="C9" s="34" t="str">
        <x:v>global</x:v>
      </x:c>
      <x:c r="D9" s="34" t="n">
        <x:v>1</x:v>
      </x:c>
      <x:c r="E9" s="43" t="n">
        <x:v>24000</x:v>
      </x:c>
      <x:c r="F9" s="43" t="n">
        <x:f>D9*E9</x:f>
        <x:v>24000</x:v>
      </x:c>
    </x:row>
    <x:row r="10" ht="31" customHeight="1">
      <x:c r="A10" s="34" t="n">
        <x:v>3</x:v>
      </x:c>
      <x:c r="B10" s="31" t="str">
        <x:v>Desmontaje de monopostes hasta 18 m e inventario</x:v>
      </x:c>
      <x:c r="C10" s="34" t="str">
        <x:v>global</x:v>
      </x:c>
      <x:c r="D10" s="34" t="n">
        <x:v>1</x:v>
      </x:c>
      <x:c r="E10" s="43" t="n">
        <x:v>8200</x:v>
      </x:c>
      <x:c r="F10" s="43" t="n">
        <x:f>D10*E10</x:f>
        <x:v>8200</x:v>
      </x:c>
    </x:row>
    <x:row r="11" ht="31" customHeight="1">
      <x:c r="A11" s="34" t="n">
        <x:v>4</x:v>
      </x:c>
      <x:c r="B11" s="31" t="str">
        <x:v>Traslado, grúa, izaje, montaje, aplomado y torqueado</x:v>
      </x:c>
      <x:c r="C11" s="34" t="str">
        <x:v>global</x:v>
      </x:c>
      <x:c r="D11" s="34" t="n">
        <x:v>1</x:v>
      </x:c>
      <x:c r="E11" s="43" t="n">
        <x:v>10552.21</x:v>
      </x:c>
      <x:c r="F11" s="43" t="n">
        <x:f>D11*E11</x:f>
        <x:v>10552.21</x:v>
      </x:c>
    </x:row>
    <x:row r="12" ht="31" customHeight="1">
      <x:c r="A12" s="34" t="n">
        <x:v>5</x:v>
      </x:c>
      <x:c r="B12" s="31" t="str">
        <x:v>Logística inversa, limpieza y disposición de residuos</x:v>
      </x:c>
      <x:c r="C12" s="34" t="str">
        <x:v>global</x:v>
      </x:c>
      <x:c r="D12" s="34" t="n">
        <x:v>1</x:v>
      </x:c>
      <x:c r="E12" s="43" t="n">
        <x:v>3000</x:v>
      </x:c>
      <x:c r="F12" s="43" t="n">
        <x:f>D12*E12</x:f>
        <x:v>3000</x:v>
      </x:c>
    </x:row>
    <x:row r="13">
      <x:c r="A13" s="35"/>
      <x:c r="B13" s="32" t="str">
        <x:v>Subtotal infraestructura civil y estructural</x:v>
      </x:c>
      <x:c r="C13" s="35"/>
      <x:c r="D13" s="35"/>
      <x:c r="E13" s="44"/>
      <x:c r="F13" s="44" t="n">
        <x:f>SUM(F8:F12)</x:f>
        <x:v>52252.21</x:v>
      </x:c>
    </x:row>
    <x:row r="14">
      <x:c r="A14" s="34"/>
      <x:c r="B14" s="31"/>
      <x:c r="C14" s="34"/>
      <x:c r="D14" s="34"/>
      <x:c r="E14" s="43"/>
      <x:c r="F14" s="43"/>
    </x:row>
    <x:row r="15" ht="31" customHeight="1">
      <x:c r="A15" s="34" t="n">
        <x:v>6</x:v>
      </x:c>
      <x:c r="B15" s="31" t="str">
        <x:v>Desmontaje y resguardo de antenas, RRU, BBU, MW, gabinetes y energía</x:v>
      </x:c>
      <x:c r="C15" s="34" t="str">
        <x:v>global</x:v>
      </x:c>
      <x:c r="D15" s="34" t="n">
        <x:v>1</x:v>
      </x:c>
      <x:c r="E15" s="43" t="n">
        <x:v>8500</x:v>
      </x:c>
      <x:c r="F15" s="43" t="n">
        <x:f>D15*E15</x:f>
        <x:v>8500</x:v>
      </x:c>
    </x:row>
    <x:row r="16" ht="31" customHeight="1">
      <x:c r="A16" s="34" t="n">
        <x:v>7</x:v>
      </x:c>
      <x:c r="B16" s="31" t="str">
        <x:v>Montaje de sistema radiante, transmisión, jumpers y sellado</x:v>
      </x:c>
      <x:c r="C16" s="34" t="str">
        <x:v>global</x:v>
      </x:c>
      <x:c r="D16" s="34" t="n">
        <x:v>1</x:v>
      </x:c>
      <x:c r="E16" s="43" t="n">
        <x:v>10250</x:v>
      </x:c>
      <x:c r="F16" s="43" t="n">
        <x:f>D16*E16</x:f>
        <x:v>10250</x:v>
      </x:c>
    </x:row>
    <x:row r="17" ht="31" customHeight="1">
      <x:c r="A17" s="34" t="n">
        <x:v>8</x:v>
      </x:c>
      <x:c r="B17" s="31" t="str">
        <x:v>Gabinete, rectificadores, baterías, tableros, climatización y PAT</x:v>
      </x:c>
      <x:c r="C17" s="34" t="str">
        <x:v>global</x:v>
      </x:c>
      <x:c r="D17" s="34" t="n">
        <x:v>1</x:v>
      </x:c>
      <x:c r="E17" s="43" t="n">
        <x:v>9800</x:v>
      </x:c>
      <x:c r="F17" s="43" t="n">
        <x:f>D17*E17</x:f>
        <x:v>9800</x:v>
      </x:c>
    </x:row>
    <x:row r="18" ht="31" customHeight="1">
      <x:c r="A18" s="34" t="n">
        <x:v>9</x:v>
      </x:c>
      <x:c r="B18" s="31" t="str">
        <x:v>Fibra, fusiones, ODF, ordenamiento y certificación OTDR</x:v>
      </x:c>
      <x:c r="C18" s="34" t="str">
        <x:v>global</x:v>
      </x:c>
      <x:c r="D18" s="34" t="n">
        <x:v>1</x:v>
      </x:c>
      <x:c r="E18" s="43" t="n">
        <x:v>5800</x:v>
      </x:c>
      <x:c r="F18" s="43" t="n">
        <x:f>D18*E18</x:f>
        <x:v>5800</x:v>
      </x:c>
    </x:row>
    <x:row r="19" ht="31" customHeight="1">
      <x:c r="A19" s="34" t="n">
        <x:v>10</x:v>
      </x:c>
      <x:c r="B19" s="31" t="str">
        <x:v>Configuración, OSS/NOC, commissioning, swap, rollback y soporte 72 h</x:v>
      </x:c>
      <x:c r="C19" s="34" t="str">
        <x:v>global</x:v>
      </x:c>
      <x:c r="D19" s="34" t="n">
        <x:v>1</x:v>
      </x:c>
      <x:c r="E19" s="43" t="n">
        <x:v>6500</x:v>
      </x:c>
      <x:c r="F19" s="43" t="n">
        <x:f>D19*E19</x:f>
        <x:v>6500</x:v>
      </x:c>
    </x:row>
    <x:row r="20" ht="31" customHeight="1">
      <x:c r="A20" s="34" t="n">
        <x:v>11</x:v>
      </x:c>
      <x:c r="B20" s="31" t="str">
        <x:v>Sweep, DTF, PIM, potencia, alineación GPS, alarmas y as-built</x:v>
      </x:c>
      <x:c r="C20" s="34" t="str">
        <x:v>global</x:v>
      </x:c>
      <x:c r="D20" s="34" t="n">
        <x:v>1</x:v>
      </x:c>
      <x:c r="E20" s="43" t="n">
        <x:v>3148.08</x:v>
      </x:c>
      <x:c r="F20" s="43" t="n">
        <x:f>D20*E20</x:f>
        <x:v>3148.08</x:v>
      </x:c>
    </x:row>
    <x:row r="21">
      <x:c r="A21" s="25"/>
      <x:c r="B21" s="25" t="str">
        <x:v>Subtotal electrónica e integración</x:v>
      </x:c>
      <x:c r="C21" s="25"/>
      <x:c r="D21" s="25"/>
      <x:c r="E21" s="44"/>
      <x:c r="F21" s="44" t="n">
        <x:f>SUM(F15:F20)</x:f>
        <x:v>43998.08</x:v>
      </x:c>
    </x:row>
    <x:row r="22">
      <x:c r="A22" s="26"/>
      <x:c r="B22" s="26" t="str">
        <x:v>TOTAL GENERAL - IVA NO INCLUIDO</x:v>
      </x:c>
      <x:c r="C22" s="26"/>
      <x:c r="D22" s="26"/>
      <x:c r="E22" s="45"/>
      <x:c r="F22" s="45" t="n">
        <x:f>F13+F21</x:f>
        <x:v>96250.29000000001</x:v>
      </x:c>
    </x:row>
    <x:row r="23">
      <x:c r="A23" s="21"/>
      <x:c r="B23" s="21"/>
      <x:c r="C23" s="21"/>
      <x:c r="D23" s="21"/>
      <x:c r="E23" s="46"/>
      <x:c r="F23" s="46"/>
    </x:row>
    <x:row r="24">
      <x:c r="A24" s="27" t="str">
        <x:v>Nota</x:v>
      </x:c>
      <x:c r="B24" s="27" t="str">
        <x:v>Descuento por cada fundación ejecutada integralmente por el comitente</x:v>
      </x:c>
      <x:c r="C24" s="27"/>
      <x:c r="D24" s="27"/>
      <x:c r="E24" s="47"/>
      <x:c r="F24" s="48" t="n">
        <x:v>14401.51</x:v>
      </x:c>
    </x:row>
    <x:row r="25">
      <x:c r="A25" s="21"/>
      <x:c r="B25" s="21"/>
      <x:c r="C25" s="21"/>
      <x:c r="D25" s="21"/>
      <x:c r="E25" s="21"/>
      <x:c r="F25" s="21"/>
    </x:row>
    <x:row r="26">
      <x:c r="A26" s="29" t="str">
        <x:v>Condiciones</x:v>
      </x:c>
      <x:c r="B26" s="29"/>
      <x:c r="C26" s="29"/>
      <x:c r="D26" s="29"/>
      <x:c r="E26" s="29"/>
      <x:c r="F26" s="29"/>
    </x:row>
    <x:row r="27" ht="20" customHeight="1">
      <x:c r="A27" s="33" t="str">
        <x:v>- 40% de anticipo contra orden de compra.</x:v>
      </x:c>
      <x:c r="B27" s="33"/>
      <x:c r="C27" s="33"/>
      <x:c r="D27" s="33"/>
      <x:c r="E27" s="33"/>
      <x:c r="F27" s="33"/>
    </x:row>
    <x:row r="28" ht="20" customHeight="1">
      <x:c r="A28" s="33" t="str">
        <x:v>- Saldo por certificaciones mensuales a 30 días.</x:v>
      </x:c>
      <x:c r="B28" s="33"/>
      <x:c r="C28" s="33"/>
      <x:c r="D28" s="33"/>
      <x:c r="E28" s="33"/>
      <x:c r="F28" s="33"/>
    </x:row>
    <x:row r="29" ht="20" customHeight="1">
      <x:c r="A29" s="33" t="str">
        <x:v>- 10% final contra aceptación de los trabajos.</x:v>
      </x:c>
      <x:c r="B29" s="33"/>
      <x:c r="C29" s="33"/>
      <x:c r="D29" s="33"/>
      <x:c r="E29" s="33"/>
      <x:c r="F29" s="33"/>
    </x:row>
    <x:row r="30" ht="20" customHeight="1">
      <x:c r="A30" s="33" t="str">
        <x:v>- Pago en pesos al tipo vendedor BNA dólar billete del día de pago.</x:v>
      </x:c>
      <x:c r="B30" s="33"/>
      <x:c r="C30" s="33"/>
      <x:c r="D30" s="33"/>
      <x:c r="E30" s="33"/>
      <x:c r="F30" s="33"/>
    </x:row>
    <x:row r="31" ht="20" customHeight="1">
      <x:c r="A31" s="33" t="str">
        <x:v>- Incluye dos sitios llave en mano. No incluye IVA, tasas ni hardware nuevo.</x:v>
      </x:c>
      <x:c r="B31" s="33"/>
      <x:c r="C31" s="33"/>
      <x:c r="D31" s="33"/>
      <x:c r="E31" s="33"/>
      <x:c r="F31" s="33"/>
    </x:row>
    <x:row r="32">
      <x:c r="A32" s="21"/>
      <x:c r="B32" s="21"/>
      <x:c r="C32" s="21"/>
      <x:c r="D32" s="21"/>
      <x:c r="E32" s="21"/>
      <x:c r="F32" s="21"/>
    </x:row>
    <x:row r="33">
      <x:c r="A33" s="30" t="str">
        <x:v>Consultas: gestion@bibop.com.ar | 0800 362 2020</x:v>
      </x:c>
      <x:c r="B33" s="21"/>
      <x:c r="C33" s="21"/>
      <x:c r="D33" s="21"/>
      <x:c r="E33" s="21"/>
      <x:c r="F33" s="21"/>
    </x:row>
  </x:sheetData>
  <x:mergeCells>
    <x:mergeCell ref="A1:F1"/>
    <x:mergeCell ref="A2:F2"/>
    <x:mergeCell ref="B3:F3"/>
    <x:mergeCell ref="B4:F4"/>
    <x:mergeCell ref="B13:E13"/>
    <x:mergeCell ref="B21:E21"/>
    <x:mergeCell ref="B22:E22"/>
    <x:mergeCell ref="B24:E24"/>
    <x:mergeCell ref="A26:F26"/>
    <x:mergeCell ref="A27:F27"/>
    <x:mergeCell ref="A28:F28"/>
    <x:mergeCell ref="A29:F29"/>
    <x:mergeCell ref="A30:F30"/>
    <x:mergeCell ref="A31:F31"/>
    <x:mergeCell ref="A33:F33"/>
  </x:mergeCells>
  <x:pageMargins left="0.7" right="0.7" top="0.75" bottom="0.75" header="0.3" footer="0.3"/>
</x:worksheet>
</file>